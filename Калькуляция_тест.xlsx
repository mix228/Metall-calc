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евраль 2026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2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2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2" fontId="2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4" customWidth="1" min="5" max="5"/>
    <col width="8" customWidth="1" min="6" max="6"/>
    <col width="3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  <col width="14" customWidth="1" min="15" max="15"/>
    <col width="4" customWidth="1" min="16" max="16"/>
  </cols>
  <sheetData>
    <row r="1">
      <c r="M1" s="1" t="inlineStr">
        <is>
          <t>УТВЕРЖДАЮ</t>
        </is>
      </c>
    </row>
    <row r="2">
      <c r="M2" s="1" t="inlineStr">
        <is>
          <t>Главный механик</t>
        </is>
      </c>
    </row>
    <row r="3">
      <c r="M3" s="1" t="inlineStr">
        <is>
          <t>______________Бурыгин Е.Е.</t>
        </is>
      </c>
    </row>
    <row r="4">
      <c r="M4" s="1" t="inlineStr">
        <is>
          <t>"____"_____2026г.</t>
        </is>
      </c>
    </row>
    <row r="6">
      <c r="A6" s="2" t="inlineStr">
        <is>
          <t>Калькуляция  за февраль 2026г.</t>
        </is>
      </c>
    </row>
    <row r="7" ht="45" customHeight="1">
      <c r="A7" s="3" t="inlineStr">
        <is>
          <t>№ п/п</t>
        </is>
      </c>
      <c r="B7" s="4" t="inlineStr">
        <is>
          <t>Наименование изделия</t>
        </is>
      </c>
      <c r="C7" s="3" t="inlineStr">
        <is>
          <t>№ Цеха</t>
        </is>
      </c>
      <c r="D7" s="4" t="inlineStr">
        <is>
          <t>Наименование чертежа</t>
        </is>
      </c>
      <c r="E7" s="4" t="inlineStr">
        <is>
          <t xml:space="preserve">Наименование чертежа </t>
        </is>
      </c>
      <c r="F7" s="3" t="inlineStr">
        <is>
          <t>Ед. изм.</t>
        </is>
      </c>
      <c r="G7" s="4" t="inlineStr">
        <is>
          <t>Наименование материала</t>
        </is>
      </c>
      <c r="H7" s="3" t="inlineStr">
        <is>
          <t>Расход материала 1шт. (кг./м.)</t>
        </is>
      </c>
      <c r="I7" s="3" t="inlineStr">
        <is>
          <t>Цена за 1 кг. (руб.)</t>
        </is>
      </c>
      <c r="J7" s="5" t="inlineStr">
        <is>
          <t>Стоимость материала 1 шт. (руб.) (Цзаг.=Кзаг*Цкг)</t>
        </is>
      </c>
      <c r="K7" s="3" t="inlineStr">
        <is>
          <t>Время изготовления (мин. за 1шт.) (t)</t>
        </is>
      </c>
      <c r="L7" s="5" t="inlineStr">
        <is>
          <t>Стоимость работ (Цшт=t*НДС)</t>
        </is>
      </c>
      <c r="M7" s="5" t="inlineStr">
        <is>
          <t>Стоимость детали      (руб за шт.)</t>
        </is>
      </c>
      <c r="N7" s="3" t="inlineStr">
        <is>
          <t>Кол-во шт. (К)</t>
        </is>
      </c>
      <c r="O7" s="5" t="inlineStr">
        <is>
          <t>Общая стоимость Цобщ=(Цшт*К+Цзаг.)</t>
        </is>
      </c>
      <c r="P7" s="6" t="n"/>
    </row>
    <row r="8">
      <c r="A8" s="6" t="n">
        <v>1</v>
      </c>
      <c r="B8" s="7" t="inlineStr">
        <is>
          <t>Поддон под 630 тару</t>
        </is>
      </c>
      <c r="C8" s="6" t="inlineStr">
        <is>
          <t>3</t>
        </is>
      </c>
      <c r="D8" s="7" t="inlineStr"/>
      <c r="E8" s="7" t="inlineStr"/>
      <c r="F8" s="6" t="inlineStr">
        <is>
          <t>м</t>
        </is>
      </c>
      <c r="G8" s="7" t="inlineStr">
        <is>
          <t>Уголок металл. 75х75х6мм</t>
        </is>
      </c>
      <c r="H8" s="6" t="n">
        <v>2</v>
      </c>
      <c r="I8" s="6" t="n">
        <v>458.2</v>
      </c>
      <c r="J8" s="8">
        <f>H8*I8</f>
        <v/>
      </c>
      <c r="K8" s="6" t="n">
        <v>960</v>
      </c>
      <c r="L8" s="8">
        <f>K8*9.18</f>
        <v/>
      </c>
      <c r="M8" s="8">
        <f>SUM(J8:J10)+L8</f>
        <v/>
      </c>
      <c r="N8" s="6" t="n">
        <v>1</v>
      </c>
      <c r="O8" s="8">
        <f>M8*N8</f>
        <v/>
      </c>
      <c r="P8" s="6" t="inlineStr">
        <is>
          <t>+</t>
        </is>
      </c>
    </row>
    <row r="9">
      <c r="A9" s="6" t="n">
        <v>1</v>
      </c>
      <c r="B9" s="7" t="inlineStr">
        <is>
          <t>Поддон под 630 тару</t>
        </is>
      </c>
      <c r="C9" s="6" t="inlineStr">
        <is>
          <t>3</t>
        </is>
      </c>
      <c r="D9" s="7" t="inlineStr"/>
      <c r="E9" s="7" t="inlineStr"/>
      <c r="F9" s="6" t="inlineStr">
        <is>
          <t>м</t>
        </is>
      </c>
      <c r="G9" s="7" t="inlineStr">
        <is>
          <t>Уголок металл. 50х50х5мм</t>
        </is>
      </c>
      <c r="H9" s="6" t="n">
        <v>16.8</v>
      </c>
      <c r="I9" s="6" t="n">
        <v>220.49</v>
      </c>
      <c r="J9" s="8">
        <f>H9*I9</f>
        <v/>
      </c>
      <c r="K9" s="6" t="n">
        <v>960</v>
      </c>
      <c r="L9" s="8">
        <f>K9*9.18</f>
        <v/>
      </c>
      <c r="M9" s="8">
        <f>SUM(J8:J10)+L8</f>
        <v/>
      </c>
      <c r="N9" s="6" t="n">
        <v>1</v>
      </c>
      <c r="O9" s="8">
        <f>M9*N9</f>
        <v/>
      </c>
      <c r="P9" s="6" t="n"/>
    </row>
    <row r="10">
      <c r="A10" s="6" t="n">
        <v>1</v>
      </c>
      <c r="B10" s="7" t="inlineStr">
        <is>
          <t>Поддон под 630 тару</t>
        </is>
      </c>
      <c r="C10" s="6" t="inlineStr">
        <is>
          <t>3</t>
        </is>
      </c>
      <c r="D10" s="7" t="inlineStr"/>
      <c r="E10" s="7" t="inlineStr"/>
      <c r="F10" s="6" t="inlineStr">
        <is>
          <t>м</t>
        </is>
      </c>
      <c r="G10" s="7" t="inlineStr">
        <is>
          <t>Труба проф. 40х20х2мм</t>
        </is>
      </c>
      <c r="H10" s="6" t="n">
        <v>0.6</v>
      </c>
      <c r="I10" s="6" t="n">
        <v>132.15</v>
      </c>
      <c r="J10" s="8">
        <f>H10*I10</f>
        <v/>
      </c>
      <c r="K10" s="6" t="n">
        <v>960</v>
      </c>
      <c r="L10" s="8">
        <f>K10*9.18</f>
        <v/>
      </c>
      <c r="M10" s="8">
        <f>SUM(J8:J10)+L8</f>
        <v/>
      </c>
      <c r="N10" s="6" t="n">
        <v>1</v>
      </c>
      <c r="O10" s="8">
        <f>M10*N10</f>
        <v/>
      </c>
      <c r="P10" s="6" t="n"/>
    </row>
    <row r="11">
      <c r="A11" s="6" t="n">
        <v>2</v>
      </c>
      <c r="B11" s="7" t="inlineStr">
        <is>
          <t>Пиноль</t>
        </is>
      </c>
      <c r="C11" s="6" t="inlineStr">
        <is>
          <t>5</t>
        </is>
      </c>
      <c r="D11" s="7" t="inlineStr">
        <is>
          <t>P-Drum_Twister-1</t>
        </is>
      </c>
      <c r="E11" s="7" t="inlineStr"/>
      <c r="F11" s="6" t="inlineStr">
        <is>
          <t>кг</t>
        </is>
      </c>
      <c r="G11" s="7" t="inlineStr">
        <is>
          <t>Круг Ст.45 130мм</t>
        </is>
      </c>
      <c r="H11" s="6" t="n">
        <v>7.4</v>
      </c>
      <c r="I11" s="6" t="n">
        <v>59.02</v>
      </c>
      <c r="J11" s="8">
        <f>H11*I11</f>
        <v/>
      </c>
      <c r="K11" s="6" t="n">
        <v>720</v>
      </c>
      <c r="L11" s="8">
        <f>K11*9.18</f>
        <v/>
      </c>
      <c r="M11" s="8">
        <f>SUM(J11:J11)+L11</f>
        <v/>
      </c>
      <c r="N11" s="6" t="n">
        <v>10</v>
      </c>
      <c r="O11" s="8">
        <f>M11*N11</f>
        <v/>
      </c>
      <c r="P11" s="6" t="inlineStr">
        <is>
          <t>+</t>
        </is>
      </c>
    </row>
    <row r="12">
      <c r="A12" s="6" t="n">
        <v>3</v>
      </c>
      <c r="B12" s="7" t="inlineStr">
        <is>
          <t>План установки крутильной машины MKD 6-12-18/500</t>
        </is>
      </c>
      <c r="C12" s="6" t="inlineStr">
        <is>
          <t>3</t>
        </is>
      </c>
      <c r="D12" s="7" t="inlineStr">
        <is>
          <t>ПТ 12835.00.00 СБ</t>
        </is>
      </c>
      <c r="E12" s="7" t="inlineStr">
        <is>
          <t>Болты</t>
        </is>
      </c>
      <c r="F12" s="6" t="inlineStr">
        <is>
          <t>кг</t>
        </is>
      </c>
      <c r="G12" s="7" t="inlineStr">
        <is>
          <t>Круг Ст.3 24мм</t>
        </is>
      </c>
      <c r="H12" s="6" t="n">
        <v>170.9</v>
      </c>
      <c r="I12" s="6" t="n">
        <v>91.8</v>
      </c>
      <c r="J12" s="8">
        <f>H12*I12</f>
        <v/>
      </c>
      <c r="K12" s="6" t="n">
        <v>400</v>
      </c>
      <c r="L12" s="8">
        <f>K12*9.18</f>
        <v/>
      </c>
      <c r="M12" s="8">
        <f>SUM(J12:J14)+L12</f>
        <v/>
      </c>
      <c r="N12" s="6" t="n">
        <v>36</v>
      </c>
      <c r="O12" s="8">
        <f>M12*N12</f>
        <v/>
      </c>
      <c r="P12" s="6" t="inlineStr">
        <is>
          <t>+</t>
        </is>
      </c>
    </row>
    <row r="13">
      <c r="A13" s="6" t="n">
        <v>3</v>
      </c>
      <c r="B13" s="7" t="inlineStr">
        <is>
          <t>План установки крутильной машины MKD 6-12-18/500</t>
        </is>
      </c>
      <c r="C13" s="6" t="inlineStr">
        <is>
          <t>3</t>
        </is>
      </c>
      <c r="D13" s="7" t="inlineStr">
        <is>
          <t>ПТ 12835.00.00 СБ</t>
        </is>
      </c>
      <c r="E13" s="7" t="inlineStr">
        <is>
          <t>Болты</t>
        </is>
      </c>
      <c r="F13" s="6" t="inlineStr">
        <is>
          <t>кг</t>
        </is>
      </c>
      <c r="G13" s="7" t="inlineStr">
        <is>
          <t>Круг Ст.3 20мм</t>
        </is>
      </c>
      <c r="H13" s="6" t="n">
        <v>11.8</v>
      </c>
      <c r="I13" s="6" t="n">
        <v>81.54000000000001</v>
      </c>
      <c r="J13" s="8">
        <f>H13*I13</f>
        <v/>
      </c>
      <c r="K13" s="6" t="n">
        <v>400</v>
      </c>
      <c r="L13" s="8">
        <f>K13*9.18</f>
        <v/>
      </c>
      <c r="M13" s="8">
        <f>SUM(J12:J14)+L12</f>
        <v/>
      </c>
      <c r="N13" s="6" t="n">
        <v>36</v>
      </c>
      <c r="O13" s="8">
        <f>M13*N13</f>
        <v/>
      </c>
      <c r="P13" s="6" t="n"/>
    </row>
    <row r="14">
      <c r="A14" s="6" t="n">
        <v>3</v>
      </c>
      <c r="B14" s="7" t="inlineStr">
        <is>
          <t>План установки крутильной машины MKD 6-12-18/500</t>
        </is>
      </c>
      <c r="C14" s="6" t="inlineStr">
        <is>
          <t>3</t>
        </is>
      </c>
      <c r="D14" s="7" t="inlineStr">
        <is>
          <t>ПТ 12835.00.00 СБ</t>
        </is>
      </c>
      <c r="E14" s="7" t="inlineStr">
        <is>
          <t>Болты</t>
        </is>
      </c>
      <c r="F14" s="6" t="inlineStr">
        <is>
          <t>кг</t>
        </is>
      </c>
      <c r="G14" s="7" t="inlineStr">
        <is>
          <t>Круг Ст.3 16мм</t>
        </is>
      </c>
      <c r="H14" s="6" t="n">
        <v>5.2</v>
      </c>
      <c r="I14" s="6" t="n">
        <v>91.8</v>
      </c>
      <c r="J14" s="8">
        <f>H14*I14</f>
        <v/>
      </c>
      <c r="K14" s="6" t="n">
        <v>400</v>
      </c>
      <c r="L14" s="8">
        <f>K14*9.18</f>
        <v/>
      </c>
      <c r="M14" s="8">
        <f>SUM(J12:J14)+L12</f>
        <v/>
      </c>
      <c r="N14" s="6" t="n">
        <v>36</v>
      </c>
      <c r="O14" s="8">
        <f>M14*N14</f>
        <v/>
      </c>
      <c r="P14" s="6" t="n"/>
    </row>
    <row r="15">
      <c r="A15" s="6" t="n"/>
      <c r="B15" s="7" t="n"/>
      <c r="C15" s="6" t="n"/>
      <c r="D15" s="7" t="n"/>
      <c r="E15" s="7" t="n"/>
      <c r="F15" s="6" t="n"/>
      <c r="G15" s="7" t="n"/>
      <c r="H15" s="6" t="n"/>
      <c r="I15" s="6" t="n"/>
      <c r="J15" s="8">
        <f>H15*I15</f>
        <v/>
      </c>
      <c r="K15" s="6" t="n"/>
      <c r="L15" s="8">
        <f>K15*9.18</f>
        <v/>
      </c>
      <c r="M15" s="8">
        <f>J15+L15</f>
        <v/>
      </c>
      <c r="N15" s="6" t="n"/>
      <c r="O15" s="8">
        <f>M15*N15</f>
        <v/>
      </c>
      <c r="P15" s="6" t="n"/>
    </row>
    <row r="16">
      <c r="A16" s="6" t="n"/>
      <c r="B16" s="7" t="n"/>
      <c r="C16" s="6" t="n"/>
      <c r="D16" s="7" t="n"/>
      <c r="E16" s="7" t="n"/>
      <c r="F16" s="6" t="n"/>
      <c r="G16" s="7" t="n"/>
      <c r="H16" s="6" t="n"/>
      <c r="I16" s="6" t="n"/>
      <c r="J16" s="8">
        <f>H16*I16</f>
        <v/>
      </c>
      <c r="K16" s="6" t="n"/>
      <c r="L16" s="8">
        <f>K16*9.18</f>
        <v/>
      </c>
      <c r="M16" s="8">
        <f>J16+L16</f>
        <v/>
      </c>
      <c r="N16" s="6" t="n"/>
      <c r="O16" s="8">
        <f>M16*N16</f>
        <v/>
      </c>
      <c r="P16" s="6" t="n"/>
    </row>
    <row r="17">
      <c r="A17" s="6" t="n"/>
      <c r="B17" s="7" t="n"/>
      <c r="C17" s="6" t="n"/>
      <c r="D17" s="7" t="n"/>
      <c r="E17" s="7" t="n"/>
      <c r="F17" s="6" t="n"/>
      <c r="G17" s="7" t="n"/>
      <c r="H17" s="6" t="n"/>
      <c r="I17" s="6" t="n"/>
      <c r="J17" s="8">
        <f>H17*I17</f>
        <v/>
      </c>
      <c r="K17" s="6" t="n"/>
      <c r="L17" s="8">
        <f>K17*9.18</f>
        <v/>
      </c>
      <c r="M17" s="8">
        <f>J17+L17</f>
        <v/>
      </c>
      <c r="N17" s="6" t="n"/>
      <c r="O17" s="8">
        <f>M17*N17</f>
        <v/>
      </c>
      <c r="P17" s="6" t="n"/>
    </row>
    <row r="18">
      <c r="A18" s="6" t="n"/>
      <c r="B18" s="7" t="n"/>
      <c r="C18" s="6" t="n"/>
      <c r="D18" s="7" t="n"/>
      <c r="E18" s="7" t="n"/>
      <c r="F18" s="6" t="n"/>
      <c r="G18" s="7" t="n"/>
      <c r="H18" s="6" t="n"/>
      <c r="I18" s="6" t="n"/>
      <c r="J18" s="8">
        <f>H18*I18</f>
        <v/>
      </c>
      <c r="K18" s="6" t="n"/>
      <c r="L18" s="8">
        <f>K18*9.18</f>
        <v/>
      </c>
      <c r="M18" s="8">
        <f>J18+L18</f>
        <v/>
      </c>
      <c r="N18" s="6" t="n"/>
      <c r="O18" s="8">
        <f>M18*N18</f>
        <v/>
      </c>
      <c r="P18" s="6" t="n"/>
    </row>
    <row r="19">
      <c r="A19" s="6" t="n"/>
      <c r="B19" s="7" t="n"/>
      <c r="C19" s="6" t="n"/>
      <c r="D19" s="7" t="n"/>
      <c r="E19" s="7" t="n"/>
      <c r="F19" s="6" t="n"/>
      <c r="G19" s="7" t="n"/>
      <c r="H19" s="6" t="n"/>
      <c r="I19" s="6" t="n"/>
      <c r="J19" s="8">
        <f>H19*I19</f>
        <v/>
      </c>
      <c r="K19" s="6" t="n"/>
      <c r="L19" s="8">
        <f>K19*9.18</f>
        <v/>
      </c>
      <c r="M19" s="8">
        <f>J19+L19</f>
        <v/>
      </c>
      <c r="N19" s="6" t="n"/>
      <c r="O19" s="8">
        <f>M19*N19</f>
        <v/>
      </c>
      <c r="P19" s="6" t="n"/>
    </row>
    <row r="20">
      <c r="A20" s="6" t="n"/>
      <c r="B20" s="7" t="n"/>
      <c r="C20" s="6" t="n"/>
      <c r="D20" s="7" t="n"/>
      <c r="E20" s="7" t="n"/>
      <c r="F20" s="6" t="n"/>
      <c r="G20" s="7" t="n"/>
      <c r="H20" s="6" t="n"/>
      <c r="I20" s="6" t="n"/>
      <c r="J20" s="8">
        <f>H20*I20</f>
        <v/>
      </c>
      <c r="K20" s="6" t="n"/>
      <c r="L20" s="8">
        <f>K20*9.18</f>
        <v/>
      </c>
      <c r="M20" s="8">
        <f>J20+L20</f>
        <v/>
      </c>
      <c r="N20" s="6" t="n"/>
      <c r="O20" s="8">
        <f>M20*N20</f>
        <v/>
      </c>
      <c r="P20" s="6" t="n"/>
    </row>
    <row r="21">
      <c r="A21" s="6" t="n"/>
      <c r="B21" s="7" t="n"/>
      <c r="C21" s="6" t="n"/>
      <c r="D21" s="7" t="n"/>
      <c r="E21" s="7" t="n"/>
      <c r="F21" s="6" t="n"/>
      <c r="G21" s="7" t="n"/>
      <c r="H21" s="6" t="n"/>
      <c r="I21" s="6" t="n"/>
      <c r="J21" s="8">
        <f>H21*I21</f>
        <v/>
      </c>
      <c r="K21" s="6" t="n"/>
      <c r="L21" s="8">
        <f>K21*9.18</f>
        <v/>
      </c>
      <c r="M21" s="8">
        <f>J21+L21</f>
        <v/>
      </c>
      <c r="N21" s="6" t="n"/>
      <c r="O21" s="8">
        <f>M21*N21</f>
        <v/>
      </c>
      <c r="P21" s="6" t="n"/>
    </row>
    <row r="22">
      <c r="A22" s="6" t="n"/>
      <c r="B22" s="7" t="n"/>
      <c r="C22" s="6" t="n"/>
      <c r="D22" s="7" t="n"/>
      <c r="E22" s="7" t="n"/>
      <c r="F22" s="6" t="n"/>
      <c r="G22" s="7" t="n"/>
      <c r="H22" s="6" t="n"/>
      <c r="I22" s="6" t="n"/>
      <c r="J22" s="8">
        <f>H22*I22</f>
        <v/>
      </c>
      <c r="K22" s="6" t="n"/>
      <c r="L22" s="8">
        <f>K22*9.18</f>
        <v/>
      </c>
      <c r="M22" s="8">
        <f>J22+L22</f>
        <v/>
      </c>
      <c r="N22" s="6" t="n"/>
      <c r="O22" s="8">
        <f>M22*N22</f>
        <v/>
      </c>
      <c r="P22" s="6" t="n"/>
    </row>
    <row r="23">
      <c r="A23" s="6" t="n"/>
      <c r="B23" s="7" t="n"/>
      <c r="C23" s="6" t="n"/>
      <c r="D23" s="7" t="n"/>
      <c r="E23" s="7" t="n"/>
      <c r="F23" s="6" t="n"/>
      <c r="G23" s="7" t="n"/>
      <c r="H23" s="6" t="n"/>
      <c r="I23" s="6" t="n"/>
      <c r="J23" s="8">
        <f>H23*I23</f>
        <v/>
      </c>
      <c r="K23" s="6" t="n"/>
      <c r="L23" s="8">
        <f>K23*9.18</f>
        <v/>
      </c>
      <c r="M23" s="8">
        <f>J23+L23</f>
        <v/>
      </c>
      <c r="N23" s="6" t="n"/>
      <c r="O23" s="8">
        <f>M23*N23</f>
        <v/>
      </c>
      <c r="P23" s="6" t="n"/>
    </row>
    <row r="24">
      <c r="A24" s="6" t="n"/>
      <c r="B24" s="7" t="n"/>
      <c r="C24" s="6" t="n"/>
      <c r="D24" s="7" t="n"/>
      <c r="E24" s="7" t="n"/>
      <c r="F24" s="6" t="n"/>
      <c r="G24" s="7" t="n"/>
      <c r="H24" s="6" t="n"/>
      <c r="I24" s="6" t="n"/>
      <c r="J24" s="8">
        <f>H24*I24</f>
        <v/>
      </c>
      <c r="K24" s="6" t="n"/>
      <c r="L24" s="8">
        <f>K24*9.18</f>
        <v/>
      </c>
      <c r="M24" s="8">
        <f>J24+L24</f>
        <v/>
      </c>
      <c r="N24" s="6" t="n"/>
      <c r="O24" s="8">
        <f>M24*N24</f>
        <v/>
      </c>
      <c r="P24" s="6" t="n"/>
    </row>
    <row r="25">
      <c r="N25" s="9" t="inlineStr">
        <is>
          <t>Итого:</t>
        </is>
      </c>
      <c r="O25" s="10">
        <f>SUMIF(P8:P24,"+",O8:O24)</f>
        <v/>
      </c>
    </row>
    <row r="27">
      <c r="A27" s="11" t="inlineStr">
        <is>
          <t>Стоимость работы за минуту без НДС 551/60=9,18р/мин</t>
        </is>
      </c>
    </row>
    <row r="29">
      <c r="L29" s="11" t="inlineStr">
        <is>
          <t>Подготовил___________________________Дроздов И.А.</t>
        </is>
      </c>
    </row>
    <row r="30">
      <c r="L30" s="11" t="inlineStr">
        <is>
          <t>Проверил_____________________________Сомкин М.Е.</t>
        </is>
      </c>
    </row>
  </sheetData>
  <mergeCells count="8">
    <mergeCell ref="L30:O30"/>
    <mergeCell ref="L29:O29"/>
    <mergeCell ref="M4:O4"/>
    <mergeCell ref="M3:O3"/>
    <mergeCell ref="M1:O1"/>
    <mergeCell ref="A27:O27"/>
    <mergeCell ref="A6:O6"/>
    <mergeCell ref="M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2026-09-25T18:46:15Z</dcterms:created>
  <dcterms:modified xsi:type="dcterms:W3CDTF">2026-09-25T18:46:15Z</dcterms:modified>
</cp:coreProperties>
</file>